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cosmo/Documents/Cursos/Bootcamp - Reclame AQUI - Dados e IA na Prática/"/>
    </mc:Choice>
  </mc:AlternateContent>
  <xr:revisionPtr revIDLastSave="0" documentId="8_{38232FBA-3CCA-5248-A0E8-DCEB58749797}" xr6:coauthVersionLast="47" xr6:coauthVersionMax="47" xr10:uidLastSave="{00000000-0000-0000-0000-000000000000}"/>
  <bookViews>
    <workbookView xWindow="0" yWindow="660" windowWidth="30240" windowHeight="17740" xr2:uid="{8A35A520-FCBE-3645-97D5-0D76AB4EC9B2}"/>
  </bookViews>
  <sheets>
    <sheet name="Planilha1" sheetId="1" r:id="rId1"/>
    <sheet name="Planilha2" sheetId="2" r:id="rId2"/>
  </sheets>
  <definedNames>
    <definedName name="aporte">Planilha1!$D$15</definedName>
    <definedName name="patrimonio">Planilha1!$D$18</definedName>
    <definedName name="qtd_anos">Planilha1!$D$16</definedName>
    <definedName name="rendimento_carteira">Planilha1!$D$11</definedName>
    <definedName name="salario">Planilha1!$D$10</definedName>
    <definedName name="sugestao_investimento">Planilha1!$D$12</definedName>
    <definedName name="taxa_mensal">Planilha1!$D$17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2" l="1"/>
  <c r="C34" i="1" s="1"/>
  <c r="A11" i="2"/>
  <c r="A12" i="2"/>
  <c r="A13" i="2"/>
  <c r="A14" i="2"/>
  <c r="A15" i="2"/>
  <c r="A16" i="2"/>
  <c r="A17" i="2"/>
  <c r="A18" i="2"/>
  <c r="A19" i="2"/>
  <c r="A20" i="2"/>
  <c r="A21" i="2"/>
  <c r="A5" i="2"/>
  <c r="A6" i="2"/>
  <c r="A7" i="2"/>
  <c r="A8" i="2"/>
  <c r="A9" i="2"/>
  <c r="A4" i="2"/>
  <c r="C30" i="1"/>
  <c r="D18" i="1"/>
  <c r="D19" i="1" s="1"/>
  <c r="D12" i="1"/>
  <c r="C23" i="1"/>
  <c r="D23" i="1" s="1"/>
  <c r="C24" i="1"/>
  <c r="D24" i="1" s="1"/>
  <c r="C25" i="1"/>
  <c r="D25" i="1" s="1"/>
  <c r="C26" i="1"/>
  <c r="D26" i="1" s="1"/>
  <c r="C22" i="1"/>
  <c r="D22" i="1" s="1"/>
  <c r="D34" i="1" l="1"/>
  <c r="C38" i="1"/>
  <c r="D38" i="1" s="1"/>
  <c r="C37" i="1"/>
  <c r="D37" i="1" s="1"/>
  <c r="C33" i="1"/>
  <c r="D33" i="1" s="1"/>
  <c r="C36" i="1"/>
  <c r="D36" i="1" s="1"/>
  <c r="C35" i="1"/>
  <c r="D35" i="1" s="1"/>
  <c r="D39" i="1" l="1"/>
</calcChain>
</file>

<file path=xl/sharedStrings.xml><?xml version="1.0" encoding="utf-8"?>
<sst xmlns="http://schemas.openxmlformats.org/spreadsheetml/2006/main" count="69" uniqueCount="33">
  <si>
    <t>INVESTIMENTO MENSAL</t>
  </si>
  <si>
    <t>Quanto em 2 Anos ?</t>
  </si>
  <si>
    <t>Quanto em 5 Anos ?</t>
  </si>
  <si>
    <t>Quanto investir por mês ?</t>
  </si>
  <si>
    <t>Por Quantos Anos ?</t>
  </si>
  <si>
    <t>Taxa de Rendimento mensal ?</t>
  </si>
  <si>
    <t>Patrimônio acumulado ?</t>
  </si>
  <si>
    <t>Dividendos Mensais ?</t>
  </si>
  <si>
    <t>Quanto em 10 Anos ?</t>
  </si>
  <si>
    <t>Quanto em 30 Anos ?</t>
  </si>
  <si>
    <t>Quanto em 20 Anos ?</t>
  </si>
  <si>
    <t>Cenários</t>
  </si>
  <si>
    <t xml:space="preserve">Dividendo </t>
  </si>
  <si>
    <t>Salário</t>
  </si>
  <si>
    <t>Rendimento Carteira</t>
  </si>
  <si>
    <t>Sugentão de Investimento</t>
  </si>
  <si>
    <t>CONFIGURAÇÕES</t>
  </si>
  <si>
    <t>Conservador</t>
  </si>
  <si>
    <t>Moderado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</si>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</sst>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3"/>
      <color theme="1"/>
      <name val="Aptos Narrow"/>
      <scheme val="minor"/>
    </font>
    <font>
      <b/>
      <sz val="13"/>
      <color theme="1"/>
      <name val="Aptos Narrow"/>
      <scheme val="minor"/>
    </font>
    <font>
      <b/>
      <sz val="20"/>
      <color theme="0"/>
      <name val="Aptos Narrow"/>
      <scheme val="minor"/>
    </font>
    <font>
      <b/>
      <sz val="12"/>
      <color theme="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D58A"/>
        <bgColor indexed="64"/>
      </patternFill>
    </fill>
    <fill>
      <patternFill patternType="solid">
        <fgColor rgb="FF00A878"/>
        <bgColor indexed="64"/>
      </patternFill>
    </fill>
    <fill>
      <patternFill patternType="solid">
        <fgColor rgb="FFE6A23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499984740745262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0.1499679555650502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679555650502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0.14996795556505021"/>
      </top>
      <bottom style="thin">
        <color theme="0" tint="-4.9989318521683403E-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6" fontId="0" fillId="0" borderId="7" xfId="1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0" fontId="0" fillId="0" borderId="10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6" fontId="5" fillId="0" borderId="14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10" fontId="5" fillId="0" borderId="10" xfId="2" applyNumberFormat="1" applyFont="1" applyBorder="1" applyAlignment="1">
      <alignment horizontal="center" vertical="center"/>
    </xf>
    <xf numFmtId="0" fontId="0" fillId="2" borderId="15" xfId="0" applyFill="1" applyBorder="1"/>
    <xf numFmtId="8" fontId="0" fillId="2" borderId="16" xfId="0" applyNumberFormat="1" applyFill="1" applyBorder="1"/>
    <xf numFmtId="8" fontId="0" fillId="2" borderId="17" xfId="0" applyNumberFormat="1" applyFill="1" applyBorder="1"/>
    <xf numFmtId="0" fontId="0" fillId="2" borderId="18" xfId="0" applyFill="1" applyBorder="1"/>
    <xf numFmtId="8" fontId="0" fillId="2" borderId="19" xfId="0" applyNumberFormat="1" applyFill="1" applyBorder="1"/>
    <xf numFmtId="8" fontId="0" fillId="2" borderId="20" xfId="0" applyNumberFormat="1" applyFill="1" applyBorder="1"/>
    <xf numFmtId="0" fontId="0" fillId="2" borderId="21" xfId="0" applyFill="1" applyBorder="1"/>
    <xf numFmtId="8" fontId="0" fillId="2" borderId="22" xfId="0" applyNumberFormat="1" applyFill="1" applyBorder="1"/>
    <xf numFmtId="8" fontId="0" fillId="2" borderId="23" xfId="0" applyNumberFormat="1" applyFill="1" applyBorder="1"/>
    <xf numFmtId="0" fontId="5" fillId="2" borderId="24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8" fontId="5" fillId="2" borderId="26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8" fontId="5" fillId="2" borderId="23" xfId="0" applyNumberFormat="1" applyFont="1" applyFill="1" applyBorder="1" applyAlignment="1">
      <alignment horizontal="center" vertical="center"/>
    </xf>
    <xf numFmtId="0" fontId="0" fillId="3" borderId="0" xfId="0" applyFill="1"/>
    <xf numFmtId="0" fontId="3" fillId="3" borderId="0" xfId="0" applyFont="1" applyFill="1"/>
    <xf numFmtId="166" fontId="3" fillId="3" borderId="0" xfId="0" applyNumberFormat="1" applyFont="1" applyFill="1" applyAlignment="1">
      <alignment horizontal="center" vertical="center"/>
    </xf>
    <xf numFmtId="0" fontId="0" fillId="4" borderId="0" xfId="0" applyFill="1"/>
    <xf numFmtId="9" fontId="0" fillId="0" borderId="0" xfId="2" applyFont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9" fontId="0" fillId="0" borderId="4" xfId="2" applyFont="1" applyBorder="1" applyAlignment="1">
      <alignment horizontal="center"/>
    </xf>
    <xf numFmtId="9" fontId="0" fillId="0" borderId="4" xfId="0" applyNumberForma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right" vertical="center"/>
    </xf>
    <xf numFmtId="0" fontId="2" fillId="7" borderId="0" xfId="0" applyFont="1" applyFill="1" applyBorder="1"/>
    <xf numFmtId="0" fontId="2" fillId="7" borderId="0" xfId="0" applyFont="1" applyFill="1"/>
    <xf numFmtId="0" fontId="7" fillId="7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6A23C"/>
      <color rgb="FFA95123"/>
      <color rgb="FFFFD710"/>
      <color rgb="FFF3D58A"/>
      <color rgb="FF00A878"/>
      <color rgb="FF031A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47-D14D-8F21-FDB7E6B48A0E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347-D14D-8F21-FDB7E6B48A0E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47-D14D-8F21-FDB7E6B48A0E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347-D14D-8F21-FDB7E6B48A0E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47-D14D-8F21-FDB7E6B48A0E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347-D14D-8F21-FDB7E6B48A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Planilha1!$C$33:$C$38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7-D14D-8F21-FDB7E6B48A0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484187</xdr:colOff>
      <xdr:row>0</xdr:row>
      <xdr:rowOff>79377</xdr:rowOff>
    </xdr:from>
    <xdr:to>
      <xdr:col>3</xdr:col>
      <xdr:colOff>1277936</xdr:colOff>
      <xdr:row>7</xdr:row>
      <xdr:rowOff>120438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F0FAF92-C579-D834-9A77-31E4CF69A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187" y="79377"/>
          <a:ext cx="6484937" cy="1485686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39</xdr:row>
      <xdr:rowOff>84931</xdr:rowOff>
    </xdr:from>
    <xdr:to>
      <xdr:col>3</xdr:col>
      <xdr:colOff>1246187</xdr:colOff>
      <xdr:row>51</xdr:row>
      <xdr:rowOff>63500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A349337-3050-61C0-450C-75A6974C8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FD73-BA36-9A45-8134-A8FF8B1752C9}">
  <dimension ref="A8:F39"/>
  <sheetViews>
    <sheetView showGridLines="0" showRowColHeaders="0" tabSelected="1" topLeftCell="A8" zoomScale="160" zoomScaleNormal="160" workbookViewId="0">
      <selection activeCell="C25" sqref="C2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0" defaultRowHeight="16" x14ac:dyDescent="0.2"/>
  <cols>
    <col min="1" max="1" width="6.5" customWidth="1"/>
    <col min="2" max="2" width="49.6640625" customWidth="1"/>
    <col min="3" max="3" width="18.5" customWidth="1"/>
    <col min="4" max="4" width="16.83203125" customWidth="1"/>
    <col min="5" max="7" width="3.6640625" customWidth="1"/>
    <col min="8" max="8" width="10.83203125" hidden="1" customWidth="1"/>
    <col min="9" max="16384" width="10.83203125" hidden="1"/>
  </cols>
  <sheetData>
    <row r="8" spans="2:4" ht="17" thickBot="1" x14ac:dyDescent="0.25"/>
    <row r="9" spans="2:4" ht="27" x14ac:dyDescent="0.2">
      <c r="B9" s="46" t="s">
        <v>16</v>
      </c>
      <c r="C9" s="47"/>
      <c r="D9" s="48"/>
    </row>
    <row r="10" spans="2:4" x14ac:dyDescent="0.2">
      <c r="B10" s="6" t="s">
        <v>13</v>
      </c>
      <c r="C10" s="7"/>
      <c r="D10" s="8">
        <v>3600</v>
      </c>
    </row>
    <row r="11" spans="2:4" x14ac:dyDescent="0.2">
      <c r="B11" s="9" t="s">
        <v>14</v>
      </c>
      <c r="C11" s="10"/>
      <c r="D11" s="11">
        <v>8.8999999999999999E-3</v>
      </c>
    </row>
    <row r="12" spans="2:4" ht="17" thickBot="1" x14ac:dyDescent="0.25">
      <c r="B12" s="12" t="s">
        <v>15</v>
      </c>
      <c r="C12" s="13"/>
      <c r="D12" s="14">
        <f>D10*30%</f>
        <v>1080</v>
      </c>
    </row>
    <row r="13" spans="2:4" ht="17" thickBot="1" x14ac:dyDescent="0.25"/>
    <row r="14" spans="2:4" ht="26" customHeight="1" x14ac:dyDescent="0.2">
      <c r="B14" s="49" t="s">
        <v>0</v>
      </c>
      <c r="C14" s="50"/>
      <c r="D14" s="51"/>
    </row>
    <row r="15" spans="2:4" ht="18" x14ac:dyDescent="0.25">
      <c r="B15" s="15" t="s">
        <v>3</v>
      </c>
      <c r="C15" s="16"/>
      <c r="D15" s="17">
        <v>500</v>
      </c>
    </row>
    <row r="16" spans="2:4" ht="18" x14ac:dyDescent="0.25">
      <c r="B16" s="18" t="s">
        <v>4</v>
      </c>
      <c r="C16" s="19"/>
      <c r="D16" s="20">
        <v>7</v>
      </c>
    </row>
    <row r="17" spans="1:4" ht="18" x14ac:dyDescent="0.25">
      <c r="B17" s="18" t="s">
        <v>5</v>
      </c>
      <c r="C17" s="19"/>
      <c r="D17" s="21">
        <v>1.0789999999999999E-2</v>
      </c>
    </row>
    <row r="18" spans="1:4" ht="18" x14ac:dyDescent="0.25">
      <c r="B18" s="31" t="s">
        <v>6</v>
      </c>
      <c r="C18" s="32"/>
      <c r="D18" s="33">
        <f>FV(taxa_mensal,qtd_anos*12,aporte*-1)</f>
        <v>67808.51700380152</v>
      </c>
    </row>
    <row r="19" spans="1:4" ht="19" thickBot="1" x14ac:dyDescent="0.3">
      <c r="B19" s="34" t="s">
        <v>7</v>
      </c>
      <c r="C19" s="35"/>
      <c r="D19" s="36">
        <f>patrimonio*1%</f>
        <v>678.08517003801524</v>
      </c>
    </row>
    <row r="20" spans="1:4" ht="17" thickBot="1" x14ac:dyDescent="0.25"/>
    <row r="21" spans="1:4" ht="27" x14ac:dyDescent="0.2">
      <c r="B21" s="52" t="s">
        <v>11</v>
      </c>
      <c r="C21" s="53"/>
      <c r="D21" s="54" t="s">
        <v>12</v>
      </c>
    </row>
    <row r="22" spans="1:4" x14ac:dyDescent="0.2">
      <c r="A22" s="1">
        <v>2</v>
      </c>
      <c r="B22" s="22" t="s">
        <v>1</v>
      </c>
      <c r="C22" s="23">
        <f>FV($D$17,$A22*12,$D$15*-1)</f>
        <v>13613.813648822608</v>
      </c>
      <c r="D22" s="24">
        <f>C22*rendimento_carteira</f>
        <v>121.16294147452122</v>
      </c>
    </row>
    <row r="23" spans="1:4" x14ac:dyDescent="0.2">
      <c r="A23" s="1">
        <v>5</v>
      </c>
      <c r="B23" s="25" t="s">
        <v>2</v>
      </c>
      <c r="C23" s="26">
        <f>FV($D$17,$A23*12,$D$15*-1)</f>
        <v>41888.456999243819</v>
      </c>
      <c r="D23" s="27">
        <f>C23*rendimento_carteira</f>
        <v>372.80726729327</v>
      </c>
    </row>
    <row r="24" spans="1:4" x14ac:dyDescent="0.2">
      <c r="A24" s="1">
        <v>10</v>
      </c>
      <c r="B24" s="25" t="s">
        <v>8</v>
      </c>
      <c r="C24" s="26">
        <f>FV($D$17,$A24*12,$D$15*-1)</f>
        <v>121642.1062650861</v>
      </c>
      <c r="D24" s="27">
        <f>C24*rendimento_carteira</f>
        <v>1082.6147457592663</v>
      </c>
    </row>
    <row r="25" spans="1:4" x14ac:dyDescent="0.2">
      <c r="A25" s="1">
        <v>20</v>
      </c>
      <c r="B25" s="25" t="s">
        <v>10</v>
      </c>
      <c r="C25" s="26">
        <f>FV($D$17,$A25*12,$D$15*-1)</f>
        <v>562599.20004854025</v>
      </c>
      <c r="D25" s="27">
        <f>C25*rendimento_carteira</f>
        <v>5007.1328804320083</v>
      </c>
    </row>
    <row r="26" spans="1:4" ht="17" thickBot="1" x14ac:dyDescent="0.25">
      <c r="A26" s="1">
        <v>30</v>
      </c>
      <c r="B26" s="28" t="s">
        <v>9</v>
      </c>
      <c r="C26" s="29">
        <f>FV($D$17,$A26*12,$D$15*-1)</f>
        <v>2161084.8275023573</v>
      </c>
      <c r="D26" s="30">
        <f>C26*rendimento_carteira</f>
        <v>19233.65496477098</v>
      </c>
    </row>
    <row r="29" spans="1:4" x14ac:dyDescent="0.2">
      <c r="B29" s="55" t="s">
        <v>20</v>
      </c>
      <c r="C29" s="57" t="s">
        <v>17</v>
      </c>
      <c r="D29" s="56"/>
    </row>
    <row r="30" spans="1:4" x14ac:dyDescent="0.2">
      <c r="B30" s="38" t="s">
        <v>19</v>
      </c>
      <c r="C30" s="39">
        <f>aporte</f>
        <v>500</v>
      </c>
      <c r="D30" s="37"/>
    </row>
    <row r="32" spans="1:4" x14ac:dyDescent="0.2">
      <c r="B32" s="58" t="s">
        <v>21</v>
      </c>
      <c r="C32" s="58" t="s">
        <v>22</v>
      </c>
      <c r="D32" s="58" t="s">
        <v>23</v>
      </c>
    </row>
    <row r="33" spans="2:4" x14ac:dyDescent="0.2">
      <c r="B33" s="3" t="s">
        <v>24</v>
      </c>
      <c r="C33" s="4">
        <f>VLOOKUP($C$29&amp;"-"&amp;$B33,Planilha2!$A:$D,4,FALSE)</f>
        <v>0.3</v>
      </c>
      <c r="D33" s="5">
        <f>C33*$C$30</f>
        <v>150</v>
      </c>
    </row>
    <row r="34" spans="2:4" x14ac:dyDescent="0.2">
      <c r="B34" s="3" t="s">
        <v>25</v>
      </c>
      <c r="C34" s="4">
        <f>VLOOKUP($C$29&amp;"-"&amp;$B34,Planilha2!$A:$D,4,FALSE)</f>
        <v>0.5</v>
      </c>
      <c r="D34" s="5">
        <f t="shared" ref="D34:D38" si="0">C34*$C$30</f>
        <v>250</v>
      </c>
    </row>
    <row r="35" spans="2:4" x14ac:dyDescent="0.2">
      <c r="B35" s="3" t="s">
        <v>26</v>
      </c>
      <c r="C35" s="4">
        <f>VLOOKUP($C$29&amp;"-"&amp;$B35,Planilha2!$A:$D,4,FALSE)</f>
        <v>0.1</v>
      </c>
      <c r="D35" s="5">
        <f t="shared" si="0"/>
        <v>50</v>
      </c>
    </row>
    <row r="36" spans="2:4" x14ac:dyDescent="0.2">
      <c r="B36" s="3" t="s">
        <v>27</v>
      </c>
      <c r="C36" s="4">
        <f>VLOOKUP($C$29&amp;"-"&amp;$B36,Planilha2!$A:$D,4,FALSE)</f>
        <v>0.1</v>
      </c>
      <c r="D36" s="5">
        <f t="shared" si="0"/>
        <v>50</v>
      </c>
    </row>
    <row r="37" spans="2:4" x14ac:dyDescent="0.2">
      <c r="B37" s="3" t="s">
        <v>28</v>
      </c>
      <c r="C37" s="4">
        <f>VLOOKUP($C$29&amp;"-"&amp;$B37,Planilha2!$A:$D,4,FALSE)</f>
        <v>0</v>
      </c>
      <c r="D37" s="5">
        <f t="shared" si="0"/>
        <v>0</v>
      </c>
    </row>
    <row r="38" spans="2:4" x14ac:dyDescent="0.2">
      <c r="B38" s="3" t="s">
        <v>29</v>
      </c>
      <c r="C38" s="4">
        <f>VLOOKUP($C$29&amp;"-"&amp;$B38,Planilha2!$A:$D,4,FALSE)</f>
        <v>0</v>
      </c>
      <c r="D38" s="5">
        <f t="shared" si="0"/>
        <v>0</v>
      </c>
    </row>
    <row r="39" spans="2:4" x14ac:dyDescent="0.2">
      <c r="B39" s="40"/>
      <c r="C39" s="40"/>
      <c r="D39" s="59">
        <f>SUM(D33:D38)</f>
        <v>500</v>
      </c>
    </row>
  </sheetData>
  <mergeCells count="11">
    <mergeCell ref="B15:C15"/>
    <mergeCell ref="B16:C16"/>
    <mergeCell ref="B17:C17"/>
    <mergeCell ref="B18:C18"/>
    <mergeCell ref="B19:C19"/>
    <mergeCell ref="B21:C21"/>
    <mergeCell ref="B9:D9"/>
    <mergeCell ref="B10:C10"/>
    <mergeCell ref="B11:C11"/>
    <mergeCell ref="B12:C12"/>
    <mergeCell ref="B14:D14"/>
  </mergeCells>
  <dataValidations count="1">
    <dataValidation type="list" allowBlank="1" showInputMessage="1" showErrorMessage="1" sqref="C29" xr:uid="{EED5CD42-A846-914D-B1D8-66BE2539590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1386-7CE2-3F44-9819-C8A6C31BE1B6}">
  <dimension ref="A3:D21"/>
  <sheetViews>
    <sheetView workbookViewId="0">
      <selection activeCell="I10" sqref="I10"/>
    </sheetView>
  </sheetViews>
  <sheetFormatPr baseColWidth="10" defaultRowHeight="16" x14ac:dyDescent="0.2"/>
  <cols>
    <col min="1" max="1" width="29" bestFit="1" customWidth="1"/>
    <col min="2" max="2" width="11.5" bestFit="1" customWidth="1"/>
    <col min="3" max="3" width="17.6640625" bestFit="1" customWidth="1"/>
    <col min="8" max="8" width="21.1640625" customWidth="1"/>
  </cols>
  <sheetData>
    <row r="3" spans="1:4" x14ac:dyDescent="0.2">
      <c r="A3" t="s">
        <v>31</v>
      </c>
      <c r="B3" t="s">
        <v>20</v>
      </c>
      <c r="C3" s="3" t="s">
        <v>21</v>
      </c>
      <c r="D3" s="2" t="s">
        <v>30</v>
      </c>
    </row>
    <row r="4" spans="1:4" x14ac:dyDescent="0.2">
      <c r="A4" t="str">
        <f>B4&amp;"-"&amp;C4</f>
        <v>Conservador-PAPEL</v>
      </c>
      <c r="B4" t="s">
        <v>17</v>
      </c>
      <c r="C4" s="3" t="s">
        <v>24</v>
      </c>
      <c r="D4" s="41">
        <v>0.3</v>
      </c>
    </row>
    <row r="5" spans="1:4" x14ac:dyDescent="0.2">
      <c r="A5" t="str">
        <f t="shared" ref="A5:A21" si="0">B5&amp;"-"&amp;C5</f>
        <v>Conservador-TIJOLO</v>
      </c>
      <c r="B5" t="s">
        <v>17</v>
      </c>
      <c r="C5" s="3" t="s">
        <v>25</v>
      </c>
      <c r="D5" s="41">
        <v>0.5</v>
      </c>
    </row>
    <row r="6" spans="1:4" x14ac:dyDescent="0.2">
      <c r="A6" t="str">
        <f t="shared" si="0"/>
        <v>Conservador-HÍBRIDOS</v>
      </c>
      <c r="B6" t="s">
        <v>17</v>
      </c>
      <c r="C6" s="3" t="s">
        <v>26</v>
      </c>
      <c r="D6" s="41">
        <v>0.1</v>
      </c>
    </row>
    <row r="7" spans="1:4" x14ac:dyDescent="0.2">
      <c r="A7" t="str">
        <f t="shared" si="0"/>
        <v>Conservador-FOFs</v>
      </c>
      <c r="B7" t="s">
        <v>17</v>
      </c>
      <c r="C7" s="3" t="s">
        <v>27</v>
      </c>
      <c r="D7" s="41">
        <v>0.1</v>
      </c>
    </row>
    <row r="8" spans="1:4" x14ac:dyDescent="0.2">
      <c r="A8" t="str">
        <f t="shared" si="0"/>
        <v>Conservador-DESENVOLVIMENTO</v>
      </c>
      <c r="B8" t="s">
        <v>17</v>
      </c>
      <c r="C8" s="3" t="s">
        <v>28</v>
      </c>
      <c r="D8" s="41">
        <v>0</v>
      </c>
    </row>
    <row r="9" spans="1:4" ht="17" thickBot="1" x14ac:dyDescent="0.25">
      <c r="A9" s="42" t="str">
        <f t="shared" si="0"/>
        <v>Conservador-HOTELARIAS</v>
      </c>
      <c r="B9" s="42" t="s">
        <v>17</v>
      </c>
      <c r="C9" s="43" t="s">
        <v>29</v>
      </c>
      <c r="D9" s="44">
        <v>0</v>
      </c>
    </row>
    <row r="10" spans="1:4" x14ac:dyDescent="0.2">
      <c r="A10" t="str">
        <f t="shared" si="0"/>
        <v>Moderado-PAPEL</v>
      </c>
      <c r="B10" t="s">
        <v>18</v>
      </c>
      <c r="C10" s="3" t="s">
        <v>24</v>
      </c>
      <c r="D10" s="4">
        <v>0.32</v>
      </c>
    </row>
    <row r="11" spans="1:4" x14ac:dyDescent="0.2">
      <c r="A11" t="str">
        <f t="shared" si="0"/>
        <v>Moderado-TIJOLO</v>
      </c>
      <c r="B11" t="s">
        <v>18</v>
      </c>
      <c r="C11" s="3" t="s">
        <v>25</v>
      </c>
      <c r="D11" s="4">
        <v>0.35</v>
      </c>
    </row>
    <row r="12" spans="1:4" x14ac:dyDescent="0.2">
      <c r="A12" t="str">
        <f t="shared" si="0"/>
        <v>Moderado-HÍBRIDOS</v>
      </c>
      <c r="B12" t="s">
        <v>18</v>
      </c>
      <c r="C12" s="3" t="s">
        <v>26</v>
      </c>
      <c r="D12" s="4">
        <v>0.08</v>
      </c>
    </row>
    <row r="13" spans="1:4" x14ac:dyDescent="0.2">
      <c r="A13" t="str">
        <f t="shared" si="0"/>
        <v>Moderado-FOFs</v>
      </c>
      <c r="B13" t="s">
        <v>18</v>
      </c>
      <c r="C13" s="3" t="s">
        <v>27</v>
      </c>
      <c r="D13" s="4">
        <v>0.05</v>
      </c>
    </row>
    <row r="14" spans="1:4" x14ac:dyDescent="0.2">
      <c r="A14" t="str">
        <f t="shared" si="0"/>
        <v>Moderado-DESENVOLVIMENTO</v>
      </c>
      <c r="B14" t="s">
        <v>18</v>
      </c>
      <c r="C14" s="3" t="s">
        <v>28</v>
      </c>
      <c r="D14" s="4">
        <v>0.1</v>
      </c>
    </row>
    <row r="15" spans="1:4" ht="17" thickBot="1" x14ac:dyDescent="0.25">
      <c r="A15" s="42" t="str">
        <f t="shared" si="0"/>
        <v>Moderado-HOTELARIAS</v>
      </c>
      <c r="B15" s="42" t="s">
        <v>18</v>
      </c>
      <c r="C15" s="43" t="s">
        <v>29</v>
      </c>
      <c r="D15" s="45">
        <v>0.1</v>
      </c>
    </row>
    <row r="16" spans="1:4" x14ac:dyDescent="0.2">
      <c r="A16" t="str">
        <f t="shared" si="0"/>
        <v>Agressivo-PAPEL</v>
      </c>
      <c r="B16" t="s">
        <v>32</v>
      </c>
      <c r="C16" s="3" t="s">
        <v>24</v>
      </c>
      <c r="D16" s="4">
        <v>0.5</v>
      </c>
    </row>
    <row r="17" spans="1:4" x14ac:dyDescent="0.2">
      <c r="A17" t="str">
        <f t="shared" si="0"/>
        <v>Agressivo-TIJOLO</v>
      </c>
      <c r="B17" t="s">
        <v>32</v>
      </c>
      <c r="C17" s="3" t="s">
        <v>25</v>
      </c>
      <c r="D17" s="4">
        <v>0.1</v>
      </c>
    </row>
    <row r="18" spans="1:4" x14ac:dyDescent="0.2">
      <c r="A18" t="str">
        <f t="shared" si="0"/>
        <v>Agressivo-HÍBRIDOS</v>
      </c>
      <c r="B18" t="s">
        <v>32</v>
      </c>
      <c r="C18" s="3" t="s">
        <v>26</v>
      </c>
      <c r="D18" s="4">
        <v>0.05</v>
      </c>
    </row>
    <row r="19" spans="1:4" x14ac:dyDescent="0.2">
      <c r="A19" t="str">
        <f t="shared" si="0"/>
        <v>Agressivo-FOFs</v>
      </c>
      <c r="B19" t="s">
        <v>32</v>
      </c>
      <c r="C19" s="3" t="s">
        <v>27</v>
      </c>
      <c r="D19" s="4">
        <v>0.05</v>
      </c>
    </row>
    <row r="20" spans="1:4" x14ac:dyDescent="0.2">
      <c r="A20" t="str">
        <f t="shared" si="0"/>
        <v>Agressivo-DESENVOLVIMENTO</v>
      </c>
      <c r="B20" t="s">
        <v>32</v>
      </c>
      <c r="C20" s="3" t="s">
        <v>28</v>
      </c>
      <c r="D20" s="4">
        <v>0.2</v>
      </c>
    </row>
    <row r="21" spans="1:4" x14ac:dyDescent="0.2">
      <c r="A21" t="str">
        <f t="shared" si="0"/>
        <v>Agressivo-HOTELARIAS</v>
      </c>
      <c r="B21" t="s">
        <v>32</v>
      </c>
      <c r="C21" s="3" t="s">
        <v>29</v>
      </c>
      <c r="D21" s="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Cosmo Matias Gomes</dc:creator>
  <cp:lastModifiedBy>Cosmo Matias Gomes</cp:lastModifiedBy>
  <dcterms:created xsi:type="dcterms:W3CDTF">2026-10-06T21:01:27Z</dcterms:created>
  <dcterms:modified xsi:type="dcterms:W3CDTF">2026-10-06T23:10:57Z</dcterms:modified>
</cp:coreProperties>
</file>